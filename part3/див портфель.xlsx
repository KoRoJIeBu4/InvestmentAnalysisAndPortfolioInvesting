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ual\Desktop\"/>
    </mc:Choice>
  </mc:AlternateContent>
  <xr:revisionPtr revIDLastSave="0" documentId="13_ncr:1_{370C0D29-C1B9-4A7E-81DD-EB26CB81305C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1" l="1"/>
  <c r="J29" i="1"/>
  <c r="H29" i="1"/>
  <c r="I29" i="1" s="1"/>
  <c r="J28" i="1"/>
  <c r="H28" i="1"/>
  <c r="I28" i="1" s="1"/>
  <c r="J27" i="1"/>
  <c r="H27" i="1"/>
  <c r="I27" i="1" s="1"/>
  <c r="J26" i="1"/>
  <c r="H26" i="1"/>
  <c r="I26" i="1" s="1"/>
  <c r="J25" i="1"/>
  <c r="J30" i="1" s="1"/>
  <c r="H25" i="1"/>
  <c r="I25" i="1" s="1"/>
  <c r="J3" i="1"/>
  <c r="J4" i="1"/>
  <c r="J5" i="1"/>
  <c r="J6" i="1"/>
  <c r="J7" i="1"/>
  <c r="J8" i="1"/>
  <c r="J9" i="1"/>
  <c r="J10" i="1"/>
  <c r="J11" i="1"/>
  <c r="J12" i="1"/>
  <c r="J2" i="1"/>
  <c r="H3" i="1"/>
  <c r="I3" i="1" s="1"/>
  <c r="H4" i="1"/>
  <c r="I4" i="1" s="1"/>
  <c r="H5" i="1"/>
  <c r="I5" i="1" s="1"/>
  <c r="H9" i="1"/>
  <c r="I9" i="1" s="1"/>
  <c r="H8" i="1"/>
  <c r="I8" i="1" s="1"/>
  <c r="H6" i="1"/>
  <c r="I6" i="1" s="1"/>
  <c r="H11" i="1"/>
  <c r="I11" i="1" s="1"/>
  <c r="H7" i="1"/>
  <c r="I7" i="1" s="1"/>
  <c r="H10" i="1"/>
  <c r="I10" i="1" s="1"/>
  <c r="H12" i="1"/>
  <c r="I12" i="1" s="1"/>
  <c r="H2" i="1"/>
  <c r="I2" i="1" s="1"/>
</calcChain>
</file>

<file path=xl/sharedStrings.xml><?xml version="1.0" encoding="utf-8"?>
<sst xmlns="http://schemas.openxmlformats.org/spreadsheetml/2006/main" count="79" uniqueCount="60">
  <si>
    <t>Компания</t>
  </si>
  <si>
    <t>Тикер</t>
  </si>
  <si>
    <t>DPS 2023</t>
  </si>
  <si>
    <t>DPS 2024</t>
  </si>
  <si>
    <t>DPS 2025</t>
  </si>
  <si>
    <t>ЛУКОЙЛ</t>
  </si>
  <si>
    <t>LKOH</t>
  </si>
  <si>
    <t>X5 Retail Group</t>
  </si>
  <si>
    <t>X5</t>
  </si>
  <si>
    <t>Полюс</t>
  </si>
  <si>
    <t>PLZL</t>
  </si>
  <si>
    <t>ВТБ</t>
  </si>
  <si>
    <t>VTBR</t>
  </si>
  <si>
    <t>SBER</t>
  </si>
  <si>
    <t>НОВАТЭК</t>
  </si>
  <si>
    <t>NVTK</t>
  </si>
  <si>
    <t>Роснефть</t>
  </si>
  <si>
    <t>ROSN</t>
  </si>
  <si>
    <t>Московская биржа</t>
  </si>
  <si>
    <t>MOEX</t>
  </si>
  <si>
    <t>ФосАгро</t>
  </si>
  <si>
    <t>PHOR</t>
  </si>
  <si>
    <t>TTM DPS (27.02.2026)</t>
  </si>
  <si>
    <t>Цена 27.02.2026 (руб.)</t>
  </si>
  <si>
    <t>√Цены</t>
  </si>
  <si>
    <t>Сбербанк</t>
  </si>
  <si>
    <t>Татнефть</t>
  </si>
  <si>
    <t>Метрика (TTM/√P)</t>
  </si>
  <si>
    <t>Сургутнефтегаз п</t>
  </si>
  <si>
    <t>SNGSP</t>
  </si>
  <si>
    <t>Портфель для ленивого, с низко-умеренным риском, но приемлемой доходностью</t>
  </si>
  <si>
    <t>Остальные компании индекса имеют метрику &lt; 1,0</t>
  </si>
  <si>
    <t xml:space="preserve">Дабы дифференцироваать ценные бумаги, не берем НОВАТЭК и Татнефть; </t>
  </si>
  <si>
    <t xml:space="preserve">Полюс - риск, тк зависит от цен на золото, которые находятся вблизи исторических максимумов; </t>
  </si>
  <si>
    <t>ВТБ с 2022 платил дивиденды лишь один раз, не факт, что такое продолжится, лучше взять СБЕР, который платит дивы ежегодно</t>
  </si>
  <si>
    <t>В качестве пятой компании берем Мос биржу в качестве большей дифференцированности</t>
  </si>
  <si>
    <t>TTM = Trailing Twelve Months — «скользящие 12 месяцев». Берутся данные не за календарный год, а за любые последние 12 месяцев</t>
  </si>
  <si>
    <t>Х5 берем т.к. дивы не платились изза редомициляции</t>
  </si>
  <si>
    <t>Доходность</t>
  </si>
  <si>
    <t>Вес</t>
  </si>
  <si>
    <t>Доходность (на тек стоимость)</t>
  </si>
  <si>
    <t>Средняя:</t>
  </si>
  <si>
    <t>TATNP</t>
  </si>
  <si>
    <t>Сектора</t>
  </si>
  <si>
    <t>%</t>
  </si>
  <si>
    <t>Нефтегаз</t>
  </si>
  <si>
    <t>Ритейл</t>
  </si>
  <si>
    <t>Банки</t>
  </si>
  <si>
    <t>Фин. Услуги/биржа</t>
  </si>
  <si>
    <t>Показатель</t>
  </si>
  <si>
    <t>Значение</t>
  </si>
  <si>
    <t>Количество активов</t>
  </si>
  <si>
    <t>Вес каждой позиции</t>
  </si>
  <si>
    <t>Ожидаемая дивид. доходность (TTM)</t>
  </si>
  <si>
    <t>Секторная структура</t>
  </si>
  <si>
    <t>Ритейл 20 %, нефтегаз 40 %, банки 20 %, биржа 20 %</t>
  </si>
  <si>
    <t>Ожидаемый бета (по модели лекции)</t>
  </si>
  <si>
    <t>&gt; 1,25</t>
  </si>
  <si>
    <t>Уровень риска</t>
  </si>
  <si>
    <t>Низко-умеренный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</si>
</sst>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16" fontId="0" fillId="0" borderId="0" xfId="0" applyNumberFormat="1" applyAlignment="1">
      <alignment vertical="center" wrapText="1"/>
    </xf>
    <xf numFmtId="0" fontId="3" fillId="0" borderId="0" xfId="0" applyFon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2" fontId="0" fillId="3" borderId="1" xfId="0" applyNumberFormat="1" applyFill="1" applyBorder="1" applyAlignment="1">
      <alignment vertical="center" wrapText="1"/>
    </xf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2" fontId="0" fillId="5" borderId="1" xfId="0" applyNumberFormat="1" applyFill="1" applyBorder="1" applyAlignment="1">
      <alignment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10" fontId="0" fillId="3" borderId="1" xfId="1" applyNumberFormat="1" applyFont="1" applyFill="1" applyBorder="1"/>
    <xf numFmtId="10" fontId="0" fillId="4" borderId="1" xfId="1" applyNumberFormat="1" applyFont="1" applyFill="1" applyBorder="1"/>
    <xf numFmtId="10" fontId="0" fillId="3" borderId="6" xfId="1" applyNumberFormat="1" applyFont="1" applyFill="1" applyBorder="1"/>
    <xf numFmtId="10" fontId="0" fillId="6" borderId="3" xfId="0" applyNumberFormat="1" applyFill="1" applyBorder="1"/>
    <xf numFmtId="9" fontId="0" fillId="0" borderId="5" xfId="0" applyNumberFormat="1" applyBorder="1"/>
    <xf numFmtId="0" fontId="0" fillId="0" borderId="1" xfId="0" applyBorder="1"/>
    <xf numFmtId="0" fontId="0" fillId="0" borderId="1" xfId="0" applyBorder="1" applyAlignment="1"/>
    <xf numFmtId="10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Лист1!$C$33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Лист1!$B$34:$B$37</c:f>
              <c:strCache>
                <c:ptCount val="4"/>
                <c:pt idx="0">
                  <c:v>Нефтегаз</c:v>
                </c:pt>
                <c:pt idx="1">
                  <c:v>Ритейл</c:v>
                </c:pt>
                <c:pt idx="2">
                  <c:v>Банки</c:v>
                </c:pt>
                <c:pt idx="3">
                  <c:v>Фин. Услуги/биржа</c:v>
                </c:pt>
              </c:strCache>
            </c:strRef>
          </c:cat>
          <c:val>
            <c:numRef>
              <c:f>Лист1!$C$34:$C$37</c:f>
              <c:numCache>
                <c:formatCode>General</c:formatCode>
                <c:ptCount val="4"/>
                <c:pt idx="0">
                  <c:v>40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8-4713-9EE9-D472A2CB5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Лист1!$J$24</c:f>
              <c:strCache>
                <c:ptCount val="1"/>
                <c:pt idx="0">
                  <c:v>Доходность (на тек стоимость)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Лист1!$A$25:$A$29</c:f>
              <c:strCache>
                <c:ptCount val="5"/>
                <c:pt idx="0">
                  <c:v>X5 Retail Group</c:v>
                </c:pt>
                <c:pt idx="1">
                  <c:v>ЛУКОЙЛ</c:v>
                </c:pt>
                <c:pt idx="2">
                  <c:v>Сбербанк</c:v>
                </c:pt>
                <c:pt idx="3">
                  <c:v>Московская биржа</c:v>
                </c:pt>
                <c:pt idx="4">
                  <c:v>Сургутнефтегаз п</c:v>
                </c:pt>
              </c:strCache>
            </c:strRef>
          </c:cat>
          <c:val>
            <c:numRef>
              <c:f>Лист1!$J$25:$J$29</c:f>
              <c:numCache>
                <c:formatCode>0.00%</c:formatCode>
                <c:ptCount val="5"/>
                <c:pt idx="0">
                  <c:v>0.41983471074380163</c:v>
                </c:pt>
                <c:pt idx="1">
                  <c:v>0.18249027237354085</c:v>
                </c:pt>
                <c:pt idx="2">
                  <c:v>0.11025316455696203</c:v>
                </c:pt>
                <c:pt idx="3">
                  <c:v>0.14244408074195308</c:v>
                </c:pt>
                <c:pt idx="4">
                  <c:v>0.18763796909492275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C-4FB3-B6A8-E1F9FE318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9961504"/>
        <c:axId val="469961984"/>
      </c:barChart>
      <c:catAx>
        <c:axId val="46996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9961984"/>
        <c:crosses val="autoZero"/>
        <c:auto val="1"/>
        <c:lblAlgn val="ctr"/>
        <c:lblOffset val="100"/>
        <c:noMultiLvlLbl val="0"/>
      </c:catAx>
      <c:valAx>
        <c:axId val="46996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9961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Лист1!$I$24</c:f>
              <c:strCache>
                <c:ptCount val="1"/>
                <c:pt idx="0">
                  <c:v>Метрика (TTM/√P)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Лист1!$A$25:$A$29</c:f>
              <c:strCache>
                <c:ptCount val="5"/>
                <c:pt idx="0">
                  <c:v>X5 Retail Group</c:v>
                </c:pt>
                <c:pt idx="1">
                  <c:v>ЛУКОЙЛ</c:v>
                </c:pt>
                <c:pt idx="2">
                  <c:v>Сбербанк</c:v>
                </c:pt>
                <c:pt idx="3">
                  <c:v>Московская биржа</c:v>
                </c:pt>
                <c:pt idx="4">
                  <c:v>Сургутнефтегаз п</c:v>
                </c:pt>
              </c:strCache>
            </c:strRef>
          </c:cat>
          <c:val>
            <c:numRef>
              <c:f>Лист1!$I$25:$I$29</c:f>
              <c:numCache>
                <c:formatCode>0.00</c:formatCode>
                <c:ptCount val="5"/>
                <c:pt idx="0">
                  <c:v>20.653136955816237</c:v>
                </c:pt>
                <c:pt idx="1">
                  <c:v>13.083419869681677</c:v>
                </c:pt>
                <c:pt idx="2">
                  <c:v>1.9599031234131339</c:v>
                </c:pt>
                <c:pt idx="3">
                  <c:v>1.9285266262544563</c:v>
                </c:pt>
                <c:pt idx="4">
                  <c:v>1.2629025050679261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1-4C37-8953-57E1693C5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4119536"/>
        <c:axId val="624120016"/>
      </c:barChart>
      <c:catAx>
        <c:axId val="6241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4120016"/>
        <c:crosses val="autoZero"/>
        <c:auto val="1"/>
        <c:lblAlgn val="ctr"/>
        <c:lblOffset val="100"/>
        <c:noMultiLvlLbl val="0"/>
      </c:catAx>
      <c:valAx>
        <c:axId val="6241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411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771525</xdr:colOff>
      <xdr:row>32</xdr:row>
      <xdr:rowOff>47625</xdr:rowOff>
    </xdr:from>
    <xdr:to>
      <xdr:col>9</xdr:col>
      <xdr:colOff>200025</xdr:colOff>
      <xdr:row>46</xdr:row>
      <xdr:rowOff>123825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6EEA85-D957-27C9-35E7-C1859B92A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133350</xdr:colOff>
      <xdr:row>33</xdr:row>
      <xdr:rowOff>95250</xdr:rowOff>
    </xdr:from>
    <xdr:to>
      <xdr:col>19</xdr:col>
      <xdr:colOff>190500</xdr:colOff>
      <xdr:row>47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E3BAD1A-3FBD-0D1E-305D-EB532BD3D1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133350</xdr:colOff>
      <xdr:row>19</xdr:row>
      <xdr:rowOff>161925</xdr:rowOff>
    </xdr:from>
    <xdr:to>
      <xdr:col>19</xdr:col>
      <xdr:colOff>190500</xdr:colOff>
      <xdr:row>31</xdr:row>
      <xdr:rowOff>28575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CD203A06-9964-49FA-E521-156F47497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7"/>
  <sheetViews>
    <sheetView tabSelected="1" topLeftCell="A8" workbookViewId="0">
      <selection activeCell="M6" sqref="M6"/>
    </sheetView>
  </sheetViews>
  <sheetFormatPr defaultRowHeight="15" x14ac:dyDescent="0.25"/>
  <cols>
    <col min="1" max="2" width="18.140625" customWidth="1"/>
    <col min="3" max="10" width="12.85546875" customWidth="1"/>
    <col min="11" max="11" width="9.140625" customWidth="1"/>
    <col min="16" max="16" width="12.85546875" customWidth="1"/>
  </cols>
  <sheetData>
    <row r="1" spans="1:16" ht="4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16" t="s">
        <v>22</v>
      </c>
      <c r="G1" s="6" t="s">
        <v>23</v>
      </c>
      <c r="H1" s="6" t="s">
        <v>24</v>
      </c>
      <c r="I1" s="6" t="s">
        <v>27</v>
      </c>
      <c r="J1" s="23" t="s">
        <v>38</v>
      </c>
      <c r="K1" s="18"/>
      <c r="P1" s="10"/>
    </row>
    <row r="2" spans="1:16" x14ac:dyDescent="0.25">
      <c r="A2" s="7" t="s">
        <v>7</v>
      </c>
      <c r="B2" s="7" t="s">
        <v>8</v>
      </c>
      <c r="C2" s="19">
        <v>0</v>
      </c>
      <c r="D2" s="19">
        <v>648</v>
      </c>
      <c r="E2" s="20">
        <v>641</v>
      </c>
      <c r="F2" s="14">
        <v>1016</v>
      </c>
      <c r="G2" s="8">
        <v>2420</v>
      </c>
      <c r="H2" s="15">
        <f>SQRT(G2)</f>
        <v>49.193495504995376</v>
      </c>
      <c r="I2" s="9">
        <f>F2/H2</f>
        <v>20.653136955816237</v>
      </c>
      <c r="J2" s="25">
        <f>F2/G2</f>
        <v>0.41983471074380163</v>
      </c>
      <c r="P2" t="s">
        <v>36</v>
      </c>
    </row>
    <row r="3" spans="1:16" x14ac:dyDescent="0.25">
      <c r="A3" s="7" t="s">
        <v>5</v>
      </c>
      <c r="B3" s="7" t="s">
        <v>6</v>
      </c>
      <c r="C3" s="19">
        <v>885</v>
      </c>
      <c r="D3" s="19">
        <v>1012</v>
      </c>
      <c r="E3" s="20">
        <v>938</v>
      </c>
      <c r="F3" s="14">
        <v>938</v>
      </c>
      <c r="G3" s="8">
        <v>5140</v>
      </c>
      <c r="H3" s="15">
        <f>SQRT(G3)</f>
        <v>71.693793315739683</v>
      </c>
      <c r="I3" s="9">
        <f>F3/H3</f>
        <v>13.083419869681677</v>
      </c>
      <c r="J3" s="25">
        <f t="shared" ref="J3:J12" si="0">F3/G3</f>
        <v>0.18249027237354085</v>
      </c>
      <c r="K3" s="1"/>
      <c r="P3" s="11"/>
    </row>
    <row r="4" spans="1:16" x14ac:dyDescent="0.25">
      <c r="A4" s="7" t="s">
        <v>20</v>
      </c>
      <c r="B4" s="7" t="s">
        <v>21</v>
      </c>
      <c r="C4" s="19">
        <v>1020</v>
      </c>
      <c r="D4" s="19">
        <v>552</v>
      </c>
      <c r="E4" s="20">
        <v>360</v>
      </c>
      <c r="F4" s="14">
        <v>360</v>
      </c>
      <c r="G4" s="8">
        <v>6900</v>
      </c>
      <c r="H4" s="15">
        <f>SQRT(G4)</f>
        <v>83.066238629180745</v>
      </c>
      <c r="I4" s="13">
        <f>F4/H4</f>
        <v>4.3338907110876912</v>
      </c>
      <c r="J4" s="26">
        <f t="shared" si="0"/>
        <v>5.2173913043478258E-2</v>
      </c>
      <c r="K4" s="2"/>
      <c r="P4" s="11"/>
    </row>
    <row r="5" spans="1:16" x14ac:dyDescent="0.25">
      <c r="A5" s="7" t="s">
        <v>9</v>
      </c>
      <c r="B5" s="7" t="s">
        <v>10</v>
      </c>
      <c r="C5" s="19">
        <v>0</v>
      </c>
      <c r="D5" s="19">
        <v>130</v>
      </c>
      <c r="E5" s="20">
        <v>180</v>
      </c>
      <c r="F5" s="14">
        <v>180</v>
      </c>
      <c r="G5" s="8">
        <v>2481</v>
      </c>
      <c r="H5" s="15">
        <f>SQRT(G5)</f>
        <v>49.809637621649088</v>
      </c>
      <c r="I5" s="13">
        <f>F5/H5</f>
        <v>3.6137584731547099</v>
      </c>
      <c r="J5" s="26">
        <f t="shared" si="0"/>
        <v>7.2551390568319232E-2</v>
      </c>
      <c r="K5" s="3"/>
      <c r="P5" s="11"/>
    </row>
    <row r="6" spans="1:16" x14ac:dyDescent="0.25">
      <c r="A6" s="7" t="s">
        <v>11</v>
      </c>
      <c r="B6" s="7" t="s">
        <v>12</v>
      </c>
      <c r="C6" s="19">
        <v>0</v>
      </c>
      <c r="D6" s="21">
        <v>0</v>
      </c>
      <c r="E6" s="20">
        <v>25.58</v>
      </c>
      <c r="F6" s="14">
        <v>25.58</v>
      </c>
      <c r="G6" s="8">
        <v>87.3</v>
      </c>
      <c r="H6" s="15">
        <f>SQRT(G6)</f>
        <v>9.3434469014384618</v>
      </c>
      <c r="I6" s="13">
        <f>F6/H6</f>
        <v>2.737747671692965</v>
      </c>
      <c r="J6" s="26">
        <f t="shared" si="0"/>
        <v>0.29301260022909509</v>
      </c>
      <c r="K6" s="3"/>
      <c r="P6" s="11"/>
    </row>
    <row r="7" spans="1:16" x14ac:dyDescent="0.25">
      <c r="A7" s="7" t="s">
        <v>14</v>
      </c>
      <c r="B7" s="7" t="s">
        <v>15</v>
      </c>
      <c r="C7" s="19">
        <v>95.08</v>
      </c>
      <c r="D7" s="19">
        <v>79.59</v>
      </c>
      <c r="E7" s="20">
        <v>82.15</v>
      </c>
      <c r="F7" s="14">
        <v>82.15</v>
      </c>
      <c r="G7" s="8">
        <v>1185</v>
      </c>
      <c r="H7" s="15">
        <f>SQRT(G7)</f>
        <v>34.423828956117013</v>
      </c>
      <c r="I7" s="13">
        <f>F7/H7</f>
        <v>2.3864283111772258</v>
      </c>
      <c r="J7" s="26">
        <f t="shared" si="0"/>
        <v>6.9324894514767935E-2</v>
      </c>
      <c r="K7" s="3"/>
      <c r="P7" s="11"/>
    </row>
    <row r="8" spans="1:16" x14ac:dyDescent="0.25">
      <c r="A8" s="7" t="s">
        <v>26</v>
      </c>
      <c r="B8" s="7" t="s">
        <v>42</v>
      </c>
      <c r="C8" s="19">
        <v>62.11</v>
      </c>
      <c r="D8" s="22">
        <v>98.54</v>
      </c>
      <c r="E8" s="20">
        <v>82.92</v>
      </c>
      <c r="F8" s="14">
        <v>65.59</v>
      </c>
      <c r="G8" s="8">
        <v>540</v>
      </c>
      <c r="H8" s="15">
        <f>SQRT(G8)</f>
        <v>23.2379000772445</v>
      </c>
      <c r="I8" s="13">
        <f>F8/H8</f>
        <v>2.8225441964193831</v>
      </c>
      <c r="J8" s="26">
        <f t="shared" si="0"/>
        <v>0.12146296296296297</v>
      </c>
      <c r="K8" s="3"/>
      <c r="P8" s="11"/>
    </row>
    <row r="9" spans="1:16" x14ac:dyDescent="0.25">
      <c r="A9" s="7" t="s">
        <v>25</v>
      </c>
      <c r="B9" s="7" t="s">
        <v>13</v>
      </c>
      <c r="C9" s="19">
        <v>25</v>
      </c>
      <c r="D9" s="19">
        <v>33.299999999999997</v>
      </c>
      <c r="E9" s="20">
        <v>34.840000000000003</v>
      </c>
      <c r="F9" s="14">
        <v>34.840000000000003</v>
      </c>
      <c r="G9" s="8">
        <v>316</v>
      </c>
      <c r="H9" s="15">
        <f>SQRT(G9)</f>
        <v>17.776388834631177</v>
      </c>
      <c r="I9" s="9">
        <f>F9/H9</f>
        <v>1.9599031234131339</v>
      </c>
      <c r="J9" s="25">
        <f t="shared" si="0"/>
        <v>0.11025316455696203</v>
      </c>
      <c r="K9" s="4"/>
      <c r="P9" s="11"/>
    </row>
    <row r="10" spans="1:16" ht="30" x14ac:dyDescent="0.25">
      <c r="A10" s="7" t="s">
        <v>18</v>
      </c>
      <c r="B10" s="7" t="s">
        <v>19</v>
      </c>
      <c r="C10" s="19">
        <v>4.84</v>
      </c>
      <c r="D10" s="19">
        <v>17.350000000000001</v>
      </c>
      <c r="E10" s="20">
        <v>26.11</v>
      </c>
      <c r="F10" s="14">
        <v>26.11</v>
      </c>
      <c r="G10" s="8">
        <v>183.3</v>
      </c>
      <c r="H10" s="15">
        <f>SQRT(G10)</f>
        <v>13.538833036861043</v>
      </c>
      <c r="I10" s="9">
        <f>F10/H10</f>
        <v>1.9285266262544563</v>
      </c>
      <c r="J10" s="25">
        <f t="shared" si="0"/>
        <v>0.14244408074195308</v>
      </c>
      <c r="K10" s="2"/>
      <c r="P10" s="11"/>
    </row>
    <row r="11" spans="1:16" x14ac:dyDescent="0.25">
      <c r="A11" s="7" t="s">
        <v>16</v>
      </c>
      <c r="B11" s="7" t="s">
        <v>17</v>
      </c>
      <c r="C11" s="19">
        <v>38.369999999999997</v>
      </c>
      <c r="D11" s="19">
        <v>59.78</v>
      </c>
      <c r="E11" s="20">
        <v>51.15</v>
      </c>
      <c r="F11" s="14">
        <v>26.24</v>
      </c>
      <c r="G11" s="8">
        <v>390</v>
      </c>
      <c r="H11" s="15">
        <f>SQRT(G11)</f>
        <v>19.748417658131498</v>
      </c>
      <c r="I11" s="13">
        <f>F11/H11</f>
        <v>1.3287140496137706</v>
      </c>
      <c r="J11" s="26">
        <f t="shared" si="0"/>
        <v>6.7282051282051281E-2</v>
      </c>
      <c r="K11" s="4"/>
      <c r="P11" s="11"/>
    </row>
    <row r="12" spans="1:16" x14ac:dyDescent="0.25">
      <c r="A12" s="7" t="s">
        <v>28</v>
      </c>
      <c r="B12" s="7" t="s">
        <v>29</v>
      </c>
      <c r="C12" s="19">
        <v>0.8</v>
      </c>
      <c r="D12" s="19">
        <v>12.29</v>
      </c>
      <c r="E12" s="20">
        <v>8.5</v>
      </c>
      <c r="F12" s="14">
        <v>8.5</v>
      </c>
      <c r="G12" s="8">
        <v>45.3</v>
      </c>
      <c r="H12" s="15">
        <f>SQRT(G12)</f>
        <v>6.730527468185536</v>
      </c>
      <c r="I12" s="9">
        <f>F12/H12</f>
        <v>1.2629025050679261</v>
      </c>
      <c r="J12" s="25">
        <f t="shared" si="0"/>
        <v>0.18763796909492275</v>
      </c>
      <c r="K12" s="4"/>
      <c r="P12" s="11"/>
    </row>
    <row r="13" spans="1:16" x14ac:dyDescent="0.25">
      <c r="D13" s="2"/>
      <c r="E13" s="2"/>
      <c r="F13" s="2"/>
      <c r="G13" s="4"/>
      <c r="H13" s="2"/>
      <c r="I13" s="2"/>
      <c r="J13" s="4"/>
      <c r="K13" s="2"/>
      <c r="P13" s="2"/>
    </row>
    <row r="14" spans="1:16" x14ac:dyDescent="0.25">
      <c r="A14" s="5" t="s">
        <v>31</v>
      </c>
      <c r="D14" s="2"/>
      <c r="E14" s="2"/>
      <c r="F14" s="2"/>
      <c r="G14" s="2"/>
      <c r="H14" s="2"/>
      <c r="I14" s="2"/>
      <c r="J14" s="2"/>
      <c r="K14" s="3"/>
      <c r="P14" s="2"/>
    </row>
    <row r="15" spans="1:16" ht="90" x14ac:dyDescent="0.25">
      <c r="A15" s="12" t="s">
        <v>30</v>
      </c>
      <c r="D15" s="2"/>
      <c r="E15" s="2"/>
      <c r="F15" s="2"/>
      <c r="G15" s="2"/>
      <c r="H15" s="2"/>
      <c r="I15" s="2"/>
      <c r="J15" s="2"/>
      <c r="K15" s="3"/>
      <c r="P15" s="2"/>
    </row>
    <row r="16" spans="1:16" x14ac:dyDescent="0.25">
      <c r="A16" t="s">
        <v>32</v>
      </c>
      <c r="D16" s="2"/>
      <c r="E16" s="2"/>
      <c r="F16" s="2"/>
      <c r="G16" s="2"/>
      <c r="H16" s="2"/>
      <c r="I16" s="2"/>
      <c r="J16" s="2"/>
      <c r="K16" s="4"/>
      <c r="P16" s="2"/>
    </row>
    <row r="17" spans="1:16" x14ac:dyDescent="0.25">
      <c r="A17" t="s">
        <v>33</v>
      </c>
      <c r="D17" s="2"/>
      <c r="E17" s="2"/>
      <c r="F17" s="2"/>
      <c r="G17" s="2"/>
      <c r="H17" s="2"/>
      <c r="I17" s="2"/>
      <c r="J17" s="2"/>
      <c r="K17" s="3"/>
      <c r="P17" s="2"/>
    </row>
    <row r="18" spans="1:16" x14ac:dyDescent="0.25">
      <c r="A18" t="s">
        <v>34</v>
      </c>
      <c r="D18" s="2"/>
      <c r="E18" s="2"/>
      <c r="F18" s="2"/>
      <c r="G18" s="2"/>
      <c r="H18" s="2"/>
      <c r="I18" s="2"/>
      <c r="J18" s="2"/>
      <c r="K18" s="3"/>
      <c r="P18" s="2"/>
    </row>
    <row r="19" spans="1:16" x14ac:dyDescent="0.25">
      <c r="A19" t="s">
        <v>35</v>
      </c>
      <c r="D19" s="2"/>
      <c r="E19" s="2"/>
      <c r="F19" s="2"/>
      <c r="G19" s="2"/>
      <c r="H19" s="2"/>
      <c r="I19" s="2"/>
      <c r="J19" s="2"/>
      <c r="K19" s="2"/>
      <c r="P19" s="2"/>
    </row>
    <row r="20" spans="1:16" x14ac:dyDescent="0.25">
      <c r="A20" t="s">
        <v>37</v>
      </c>
    </row>
    <row r="24" spans="1:16" ht="45" x14ac:dyDescent="0.25">
      <c r="A24" s="6" t="s">
        <v>0</v>
      </c>
      <c r="B24" s="6" t="s">
        <v>1</v>
      </c>
      <c r="C24" s="6" t="s">
        <v>2</v>
      </c>
      <c r="D24" s="6" t="s">
        <v>3</v>
      </c>
      <c r="E24" s="6" t="s">
        <v>4</v>
      </c>
      <c r="F24" s="16" t="s">
        <v>22</v>
      </c>
      <c r="G24" s="6" t="s">
        <v>23</v>
      </c>
      <c r="H24" s="6" t="s">
        <v>24</v>
      </c>
      <c r="I24" s="6" t="s">
        <v>27</v>
      </c>
      <c r="J24" s="23" t="s">
        <v>40</v>
      </c>
      <c r="K24" s="23" t="s">
        <v>39</v>
      </c>
    </row>
    <row r="25" spans="1:16" x14ac:dyDescent="0.25">
      <c r="A25" s="7" t="s">
        <v>7</v>
      </c>
      <c r="B25" s="7" t="s">
        <v>8</v>
      </c>
      <c r="C25" s="19">
        <v>0</v>
      </c>
      <c r="D25" s="19">
        <v>648</v>
      </c>
      <c r="E25" s="20">
        <v>641</v>
      </c>
      <c r="F25" s="14">
        <v>1016</v>
      </c>
      <c r="G25" s="8">
        <v>2420</v>
      </c>
      <c r="H25" s="15">
        <f>SQRT(G25)</f>
        <v>49.193495504995376</v>
      </c>
      <c r="I25" s="9">
        <f>F25/H25</f>
        <v>20.653136955816237</v>
      </c>
      <c r="J25" s="25">
        <f>F25/G25</f>
        <v>0.41983471074380163</v>
      </c>
      <c r="K25" s="24">
        <v>0.2</v>
      </c>
    </row>
    <row r="26" spans="1:16" x14ac:dyDescent="0.25">
      <c r="A26" s="7" t="s">
        <v>5</v>
      </c>
      <c r="B26" s="7" t="s">
        <v>6</v>
      </c>
      <c r="C26" s="19">
        <v>885</v>
      </c>
      <c r="D26" s="19">
        <v>1012</v>
      </c>
      <c r="E26" s="20">
        <v>938</v>
      </c>
      <c r="F26" s="14">
        <v>938</v>
      </c>
      <c r="G26" s="8">
        <v>5140</v>
      </c>
      <c r="H26" s="15">
        <f>SQRT(G26)</f>
        <v>71.693793315739683</v>
      </c>
      <c r="I26" s="9">
        <f>F26/H26</f>
        <v>13.083419869681677</v>
      </c>
      <c r="J26" s="25">
        <f t="shared" ref="J26:J29" si="1">F26/G26</f>
        <v>0.18249027237354085</v>
      </c>
      <c r="K26" s="24">
        <v>0.2</v>
      </c>
    </row>
    <row r="27" spans="1:16" x14ac:dyDescent="0.25">
      <c r="A27" s="7" t="s">
        <v>25</v>
      </c>
      <c r="B27" s="7" t="s">
        <v>13</v>
      </c>
      <c r="C27" s="19">
        <v>25</v>
      </c>
      <c r="D27" s="19">
        <v>33.299999999999997</v>
      </c>
      <c r="E27" s="20">
        <v>34.840000000000003</v>
      </c>
      <c r="F27" s="14">
        <v>34.840000000000003</v>
      </c>
      <c r="G27" s="8">
        <v>316</v>
      </c>
      <c r="H27" s="15">
        <f>SQRT(G27)</f>
        <v>17.776388834631177</v>
      </c>
      <c r="I27" s="9">
        <f>F27/H27</f>
        <v>1.9599031234131339</v>
      </c>
      <c r="J27" s="25">
        <f t="shared" si="1"/>
        <v>0.11025316455696203</v>
      </c>
      <c r="K27" s="24">
        <v>0.2</v>
      </c>
    </row>
    <row r="28" spans="1:16" ht="30" x14ac:dyDescent="0.25">
      <c r="A28" s="7" t="s">
        <v>18</v>
      </c>
      <c r="B28" s="7" t="s">
        <v>19</v>
      </c>
      <c r="C28" s="19">
        <v>4.84</v>
      </c>
      <c r="D28" s="19">
        <v>17.350000000000001</v>
      </c>
      <c r="E28" s="20">
        <v>26.11</v>
      </c>
      <c r="F28" s="14">
        <v>26.11</v>
      </c>
      <c r="G28" s="8">
        <v>183.3</v>
      </c>
      <c r="H28" s="15">
        <f>SQRT(G28)</f>
        <v>13.538833036861043</v>
      </c>
      <c r="I28" s="9">
        <f>F28/H28</f>
        <v>1.9285266262544563</v>
      </c>
      <c r="J28" s="25">
        <f t="shared" si="1"/>
        <v>0.14244408074195308</v>
      </c>
      <c r="K28" s="24">
        <v>0.2</v>
      </c>
    </row>
    <row r="29" spans="1:16" ht="15.75" thickBot="1" x14ac:dyDescent="0.3">
      <c r="A29" s="7" t="s">
        <v>28</v>
      </c>
      <c r="B29" s="7" t="s">
        <v>29</v>
      </c>
      <c r="C29" s="19">
        <v>0.8</v>
      </c>
      <c r="D29" s="19">
        <v>12.29</v>
      </c>
      <c r="E29" s="20">
        <v>8.5</v>
      </c>
      <c r="F29" s="14">
        <v>8.5</v>
      </c>
      <c r="G29" s="8">
        <v>45.3</v>
      </c>
      <c r="H29" s="15">
        <f>SQRT(G29)</f>
        <v>6.730527468185536</v>
      </c>
      <c r="I29" s="9">
        <f>F29/H29</f>
        <v>1.2629025050679261</v>
      </c>
      <c r="J29" s="27">
        <f t="shared" si="1"/>
        <v>0.18763796909492275</v>
      </c>
      <c r="K29" s="24">
        <v>0.2</v>
      </c>
    </row>
    <row r="30" spans="1:16" ht="15.75" thickBot="1" x14ac:dyDescent="0.3">
      <c r="I30" s="17" t="s">
        <v>41</v>
      </c>
      <c r="J30" s="28">
        <f>AVERAGE(J25:J29)</f>
        <v>0.20853203950223609</v>
      </c>
      <c r="K30" s="29">
        <f>SUM(K25:K29)</f>
        <v>1</v>
      </c>
    </row>
    <row r="33" spans="2:3" x14ac:dyDescent="0.25">
      <c r="B33" s="30" t="s">
        <v>43</v>
      </c>
      <c r="C33" s="30" t="s">
        <v>44</v>
      </c>
    </row>
    <row r="34" spans="2:3" x14ac:dyDescent="0.25">
      <c r="B34" s="30" t="s">
        <v>45</v>
      </c>
      <c r="C34" s="30">
        <v>40</v>
      </c>
    </row>
    <row r="35" spans="2:3" x14ac:dyDescent="0.25">
      <c r="B35" s="30" t="s">
        <v>46</v>
      </c>
      <c r="C35" s="30">
        <v>20</v>
      </c>
    </row>
    <row r="36" spans="2:3" x14ac:dyDescent="0.25">
      <c r="B36" s="30" t="s">
        <v>47</v>
      </c>
      <c r="C36" s="30">
        <v>20</v>
      </c>
    </row>
    <row r="37" spans="2:3" x14ac:dyDescent="0.25">
      <c r="B37" s="31" t="s">
        <v>48</v>
      </c>
      <c r="C37" s="30">
        <v>20</v>
      </c>
    </row>
    <row r="51" spans="2:4" x14ac:dyDescent="0.25">
      <c r="B51" s="1" t="s">
        <v>49</v>
      </c>
      <c r="C51" s="1" t="s">
        <v>50</v>
      </c>
      <c r="D51" s="1"/>
    </row>
    <row r="52" spans="2:4" ht="30" x14ac:dyDescent="0.25">
      <c r="B52" s="2" t="s">
        <v>51</v>
      </c>
      <c r="C52" s="2">
        <v>5</v>
      </c>
      <c r="D52" s="2"/>
    </row>
    <row r="53" spans="2:4" ht="30" x14ac:dyDescent="0.25">
      <c r="B53" s="2" t="s">
        <v>52</v>
      </c>
      <c r="C53" s="33">
        <v>0.2</v>
      </c>
      <c r="D53" s="2"/>
    </row>
    <row r="54" spans="2:4" ht="45" x14ac:dyDescent="0.25">
      <c r="B54" s="2" t="s">
        <v>53</v>
      </c>
      <c r="C54" s="32">
        <v>0.20849999999999999</v>
      </c>
      <c r="D54" s="2"/>
    </row>
    <row r="55" spans="2:4" ht="75" x14ac:dyDescent="0.25">
      <c r="B55" s="2" t="s">
        <v>54</v>
      </c>
      <c r="C55" s="2" t="s">
        <v>55</v>
      </c>
      <c r="D55" s="2"/>
    </row>
    <row r="56" spans="2:4" ht="45" x14ac:dyDescent="0.25">
      <c r="B56" s="2" t="s">
        <v>56</v>
      </c>
      <c r="C56" s="2" t="s">
        <v>57</v>
      </c>
      <c r="D56" s="2"/>
    </row>
    <row r="57" spans="2:4" ht="30" x14ac:dyDescent="0.25">
      <c r="B57" s="2" t="s">
        <v>58</v>
      </c>
      <c r="C57" s="2" t="s">
        <v>59</v>
      </c>
      <c r="D57" s="2"/>
    </row>
  </sheetData>
  <sortState xmlns:xlrd2="http://schemas.microsoft.com/office/spreadsheetml/2017/richdata2" ref="A2:I12">
    <sortCondition descending="1" ref="I2:I1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Серков</dc:creator>
  <cp:lastModifiedBy>Серков Константин Георгиевич</cp:lastModifiedBy>
  <dcterms:created xsi:type="dcterms:W3CDTF">2015-06-05T18:19:34Z</dcterms:created>
  <dcterms:modified xsi:type="dcterms:W3CDTF">2026-02-27T16:53:11Z</dcterms:modified>
</cp:coreProperties>
</file>