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l\Code\InvestmentAnalysisAndPortfolioInvesting\part3\"/>
    </mc:Choice>
  </mc:AlternateContent>
  <xr:revisionPtr revIDLastSave="0" documentId="13_ncr:1_{86512209-EE28-487E-8103-A38789D95DF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0" i="1"/>
  <c r="H20" i="1"/>
  <c r="I20" i="1" s="1"/>
  <c r="J19" i="1"/>
  <c r="H19" i="1"/>
  <c r="I19" i="1" s="1"/>
  <c r="J18" i="1"/>
  <c r="H18" i="1"/>
  <c r="I18" i="1" s="1"/>
  <c r="J17" i="1"/>
  <c r="H17" i="1"/>
  <c r="I17" i="1" s="1"/>
  <c r="J16" i="1"/>
  <c r="H16" i="1"/>
  <c r="I16" i="1" s="1"/>
  <c r="J3" i="1"/>
  <c r="J4" i="1"/>
  <c r="J5" i="1"/>
  <c r="J6" i="1"/>
  <c r="J7" i="1"/>
  <c r="J8" i="1"/>
  <c r="J9" i="1"/>
  <c r="J10" i="1"/>
  <c r="J11" i="1"/>
  <c r="J12" i="1"/>
  <c r="J2" i="1"/>
  <c r="H3" i="1"/>
  <c r="I3" i="1" s="1"/>
  <c r="H4" i="1"/>
  <c r="I4" i="1" s="1"/>
  <c r="H5" i="1"/>
  <c r="I5" i="1" s="1"/>
  <c r="H9" i="1"/>
  <c r="I9" i="1" s="1"/>
  <c r="H8" i="1"/>
  <c r="I8" i="1" s="1"/>
  <c r="H6" i="1"/>
  <c r="I6" i="1" s="1"/>
  <c r="H11" i="1"/>
  <c r="I11" i="1" s="1"/>
  <c r="H7" i="1"/>
  <c r="I7" i="1" s="1"/>
  <c r="H10" i="1"/>
  <c r="I10" i="1" s="1"/>
  <c r="H12" i="1"/>
  <c r="I12" i="1" s="1"/>
  <c r="H2" i="1"/>
  <c r="I2" i="1" s="1"/>
  <c r="J21" i="1" l="1"/>
</calcChain>
</file>

<file path=xl/sharedStrings.xml><?xml version="1.0" encoding="utf-8"?>
<sst xmlns="http://schemas.openxmlformats.org/spreadsheetml/2006/main" count="74" uniqueCount="55">
  <si>
    <t>Компания</t>
  </si>
  <si>
    <t>Тикер</t>
  </si>
  <si>
    <t>DPS 2023</t>
  </si>
  <si>
    <t>DPS 2024</t>
  </si>
  <si>
    <t>DPS 2025</t>
  </si>
  <si>
    <t>ЛУКОЙЛ</t>
  </si>
  <si>
    <t>LKOH</t>
  </si>
  <si>
    <t>X5 Retail Group</t>
  </si>
  <si>
    <t>X5</t>
  </si>
  <si>
    <t>Полюс</t>
  </si>
  <si>
    <t>PLZL</t>
  </si>
  <si>
    <t>ВТБ</t>
  </si>
  <si>
    <t>VTBR</t>
  </si>
  <si>
    <t>SBER</t>
  </si>
  <si>
    <t>НОВАТЭК</t>
  </si>
  <si>
    <t>NVTK</t>
  </si>
  <si>
    <t>Роснефть</t>
  </si>
  <si>
    <t>ROSN</t>
  </si>
  <si>
    <t>Московская биржа</t>
  </si>
  <si>
    <t>MOEX</t>
  </si>
  <si>
    <t>ФосАгро</t>
  </si>
  <si>
    <t>PHOR</t>
  </si>
  <si>
    <t>TTM DPS (27.02.2026)</t>
  </si>
  <si>
    <t>Цена 27.02.2026 (руб.)</t>
  </si>
  <si>
    <t>√Цены</t>
  </si>
  <si>
    <t>Сбербанк</t>
  </si>
  <si>
    <t>Татнефть</t>
  </si>
  <si>
    <t>Метрика (TTM/√P)</t>
  </si>
  <si>
    <t>Сургутнефтегаз п</t>
  </si>
  <si>
    <t>SNGSP</t>
  </si>
  <si>
    <t>TTM = Trailing Twelve Months — «скользящие 12 месяцев». Берутся данные не за календарный год, а за любые последние 12 месяцев</t>
  </si>
  <si>
    <t>Доходность</t>
  </si>
  <si>
    <t>Вес</t>
  </si>
  <si>
    <t>Доходность (на тек стоимость)</t>
  </si>
  <si>
    <t>Средняя:</t>
  </si>
  <si>
    <t>TATNP</t>
  </si>
  <si>
    <t>Сектора</t>
  </si>
  <si>
    <t>%</t>
  </si>
  <si>
    <t>Нефтегаз</t>
  </si>
  <si>
    <t>Ритейл</t>
  </si>
  <si>
    <t>Банки</t>
  </si>
  <si>
    <t>Фин. Услуги/биржа</t>
  </si>
  <si>
    <t>Показатель</t>
  </si>
  <si>
    <t>Значение</t>
  </si>
  <si>
    <t>Количество активов</t>
  </si>
  <si>
    <t>Вес каждой позиции</t>
  </si>
  <si>
    <t>Ожидаемая дивид. доходность (TTM)</t>
  </si>
  <si>
    <t>Секторная структура</t>
  </si>
  <si>
    <t>Ритейл 20 %, нефтегаз 40 %, банки 20 %, биржа 20 %</t>
  </si>
  <si>
    <t>Ожидаемый бета (по модели лекции)</t>
  </si>
  <si>
    <t>&gt; 1,25</t>
  </si>
  <si>
    <t>Уровень риска</t>
  </si>
  <si>
    <t>Низко-умеренный</t>
  </si>
  <si>
    <t>Метрика &gt; 1</t>
  </si>
  <si>
    <t>Портфель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</si>
</sst>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2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2" fontId="0" fillId="5" borderId="1" xfId="0" applyNumberForma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9" fontId="0" fillId="0" borderId="1" xfId="1" applyFont="1" applyBorder="1"/>
    <xf numFmtId="10" fontId="0" fillId="3" borderId="1" xfId="1" applyNumberFormat="1" applyFont="1" applyFill="1" applyBorder="1"/>
    <xf numFmtId="10" fontId="0" fillId="4" borderId="1" xfId="1" applyNumberFormat="1" applyFont="1" applyFill="1" applyBorder="1"/>
    <xf numFmtId="10" fontId="0" fillId="3" borderId="6" xfId="1" applyNumberFormat="1" applyFont="1" applyFill="1" applyBorder="1"/>
    <xf numFmtId="10" fontId="0" fillId="6" borderId="3" xfId="0" applyNumberFormat="1" applyFill="1" applyBorder="1"/>
    <xf numFmtId="9" fontId="0" fillId="0" borderId="5" xfId="0" applyNumberFormat="1" applyBorder="1"/>
    <xf numFmtId="0" fontId="0" fillId="0" borderId="1" xfId="0" applyBorder="1"/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C85600"/>
      <color rgb="FFFF3300"/>
      <color rgb="FF964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Доли</a:t>
            </a:r>
            <a:r>
              <a:rPr lang="ru-RU" baseline="0"/>
              <a:t> секторов в </a:t>
            </a:r>
            <a:r>
              <a:rPr lang="en-US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Лист1!$O$15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E6-4C2C-8C0B-B73544E93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E6-4C2C-8C0B-B73544E937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E6-4C2C-8C0B-B73544E93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E6-4C2C-8C0B-B73544E937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Лист1!$N$16:$N$19</c:f>
              <c:strCache>
                <c:ptCount val="4"/>
                <c:pt idx="0">
                  <c:v>Нефтегаз</c:v>
                </c:pt>
                <c:pt idx="1">
                  <c:v>Ритейл</c:v>
                </c:pt>
                <c:pt idx="2">
                  <c:v>Банки</c:v>
                </c:pt>
                <c:pt idx="3">
                  <c:v>Фин. Услуги/биржа</c:v>
                </c:pt>
              </c:strCache>
            </c:strRef>
          </c:cat>
          <c:val>
            <c:numRef>
              <c:f>Лист1!$O$16:$O$19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8-4713-9EE9-D472A2CB5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Лист1!$J$15</c:f>
              <c:strCache>
                <c:ptCount val="1"/>
                <c:pt idx="0">
                  <c:v>Доходность (на тек стоимость)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25-4D09-8564-C4732CCCB52A}"/>
              </c:ext>
            </c:extLst>
          </c:dPt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25-4D09-8564-C4732CCCB5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625-4D09-8564-C4732CCCB52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25-4D09-8564-C4732CCCB52A}"/>
              </c:ext>
            </c:extLst>
          </c:dPt>
          <c:dPt>
            <c:idx val="4"/>
            <c:invertIfNegative val="0"/>
            <c:bubble3D val="0"/>
            <c:spPr>
              <a:solidFill>
                <a:srgbClr val="C85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25-4D09-8564-C4732CCCB52A}"/>
              </c:ext>
            </c:extLst>
          </c:dPt>
          <c:cat>
            <c:strRef>
              <c:f>Лист1!$A$16:$A$20</c:f>
              <c:strCache>
                <c:ptCount val="5"/>
                <c:pt idx="0">
                  <c:v>X5 Retail Group</c:v>
                </c:pt>
                <c:pt idx="1">
                  <c:v>ЛУКОЙЛ</c:v>
                </c:pt>
                <c:pt idx="2">
                  <c:v>Сбербанк</c:v>
                </c:pt>
                <c:pt idx="3">
                  <c:v>Московская биржа</c:v>
                </c:pt>
                <c:pt idx="4">
                  <c:v>Сургутнефтегаз п</c:v>
                </c:pt>
              </c:strCache>
            </c:strRef>
          </c:cat>
          <c:val>
            <c:numRef>
              <c:f>Лист1!$J$16:$J$20</c:f>
              <c:numCache>
                <c:formatCode>0.00%</c:formatCode>
                <c:ptCount val="5"/>
                <c:pt idx="0">
                  <c:v>0.41983471074380163</c:v>
                </c:pt>
                <c:pt idx="1">
                  <c:v>0.18249027237354085</c:v>
                </c:pt>
                <c:pt idx="2">
                  <c:v>0.11025316455696203</c:v>
                </c:pt>
                <c:pt idx="3">
                  <c:v>0.14244408074195308</c:v>
                </c:pt>
                <c:pt idx="4">
                  <c:v>0.18763796909492275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C-4FB3-B6A8-E1F9FE31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961504"/>
        <c:axId val="469961984"/>
      </c:barChart>
      <c:catAx>
        <c:axId val="4699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961984"/>
        <c:crosses val="autoZero"/>
        <c:auto val="1"/>
        <c:lblAlgn val="ctr"/>
        <c:lblOffset val="100"/>
        <c:noMultiLvlLbl val="0"/>
      </c:catAx>
      <c:valAx>
        <c:axId val="4699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96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Лист1!$I$15</c:f>
              <c:strCache>
                <c:ptCount val="1"/>
                <c:pt idx="0">
                  <c:v>Метрика (TTM/√P)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21-4011-99AB-04A078CEC625}"/>
              </c:ext>
            </c:extLst>
          </c:dPt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21-4011-99AB-04A078CEC62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021-4011-99AB-04A078CEC625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21-4011-99AB-04A078CEC625}"/>
              </c:ext>
            </c:extLst>
          </c:dPt>
          <c:dPt>
            <c:idx val="4"/>
            <c:invertIfNegative val="0"/>
            <c:bubble3D val="0"/>
            <c:spPr>
              <a:solidFill>
                <a:srgbClr val="C85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021-4011-99AB-04A078CEC625}"/>
              </c:ext>
            </c:extLst>
          </c:dPt>
          <c:cat>
            <c:strRef>
              <c:f>Лист1!$A$16:$A$20</c:f>
              <c:strCache>
                <c:ptCount val="5"/>
                <c:pt idx="0">
                  <c:v>X5 Retail Group</c:v>
                </c:pt>
                <c:pt idx="1">
                  <c:v>ЛУКОЙЛ</c:v>
                </c:pt>
                <c:pt idx="2">
                  <c:v>Сбербанк</c:v>
                </c:pt>
                <c:pt idx="3">
                  <c:v>Московская биржа</c:v>
                </c:pt>
                <c:pt idx="4">
                  <c:v>Сургутнефтегаз п</c:v>
                </c:pt>
              </c:strCache>
            </c:strRef>
          </c:cat>
          <c:val>
            <c:numRef>
              <c:f>Лист1!$I$16:$I$20</c:f>
              <c:numCache>
                <c:formatCode>0.00</c:formatCode>
                <c:ptCount val="5"/>
                <c:pt idx="0">
                  <c:v>20.653136955816237</c:v>
                </c:pt>
                <c:pt idx="1">
                  <c:v>13.083419869681677</c:v>
                </c:pt>
                <c:pt idx="2">
                  <c:v>1.9599031234131339</c:v>
                </c:pt>
                <c:pt idx="3">
                  <c:v>1.9285266262544563</c:v>
                </c:pt>
                <c:pt idx="4">
                  <c:v>1.2629025050679261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1-4C37-8953-57E1693C5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119536"/>
        <c:axId val="624120016"/>
      </c:barChart>
      <c:catAx>
        <c:axId val="62411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120016"/>
        <c:crosses val="autoZero"/>
        <c:auto val="1"/>
        <c:lblAlgn val="ctr"/>
        <c:lblOffset val="100"/>
        <c:noMultiLvlLbl val="0"/>
      </c:catAx>
      <c:valAx>
        <c:axId val="6241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411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438150</xdr:colOff>
      <xdr:row>13</xdr:row>
      <xdr:rowOff>180976</xdr:rowOff>
    </xdr:from>
    <xdr:to>
      <xdr:col>23</xdr:col>
      <xdr:colOff>266700</xdr:colOff>
      <xdr:row>22</xdr:row>
      <xdr:rowOff>104776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6EEA85-D957-27C9-35E7-C1859B92A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23</xdr:row>
      <xdr:rowOff>0</xdr:rowOff>
    </xdr:from>
    <xdr:to>
      <xdr:col>12</xdr:col>
      <xdr:colOff>66675</xdr:colOff>
      <xdr:row>37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E3BAD1A-3FBD-0D1E-305D-EB532BD3D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466725</xdr:colOff>
      <xdr:row>23</xdr:row>
      <xdr:rowOff>0</xdr:rowOff>
    </xdr:from>
    <xdr:to>
      <xdr:col>5</xdr:col>
      <xdr:colOff>47625</xdr:colOff>
      <xdr:row>37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D203A06-9964-49FA-E521-156F47497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104775</xdr:colOff>
      <xdr:row>15</xdr:row>
      <xdr:rowOff>9525</xdr:rowOff>
    </xdr:from>
    <xdr:to>
      <xdr:col>16</xdr:col>
      <xdr:colOff>323850</xdr:colOff>
      <xdr:row>16</xdr:row>
      <xdr:rowOff>57150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3B42C94-7763-9629-40A6-078F21F4B1FF}"/>
            </a:ext>
          </a:extLst>
        </xdr:cNvPr>
        <xdr:cNvCxnSpPr/>
      </xdr:nvCxnSpPr>
      <xdr:spPr>
        <a:xfrm>
          <a:off x="13115925" y="3819525"/>
          <a:ext cx="1076325" cy="2381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19</xdr:row>
      <xdr:rowOff>104775</xdr:rowOff>
    </xdr:from>
    <xdr:to>
      <xdr:col>8</xdr:col>
      <xdr:colOff>333375</xdr:colOff>
      <xdr:row>22</xdr:row>
      <xdr:rowOff>114300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2F65F4B1-1933-FC88-FE60-3E2A87E97159}"/>
            </a:ext>
          </a:extLst>
        </xdr:cNvPr>
        <xdr:cNvCxnSpPr/>
      </xdr:nvCxnSpPr>
      <xdr:spPr>
        <a:xfrm flipH="1">
          <a:off x="4714875" y="4867275"/>
          <a:ext cx="3181350" cy="600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19</xdr:row>
      <xdr:rowOff>66675</xdr:rowOff>
    </xdr:from>
    <xdr:to>
      <xdr:col>9</xdr:col>
      <xdr:colOff>66675</xdr:colOff>
      <xdr:row>22</xdr:row>
      <xdr:rowOff>171450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DD4DB496-E5BF-8861-3A8B-C99E8C2BC060}"/>
            </a:ext>
          </a:extLst>
        </xdr:cNvPr>
        <xdr:cNvCxnSpPr/>
      </xdr:nvCxnSpPr>
      <xdr:spPr>
        <a:xfrm flipH="1">
          <a:off x="8467725" y="4829175"/>
          <a:ext cx="19050" cy="695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workbookViewId="0">
      <selection activeCell="Z12" sqref="Z12"/>
    </sheetView>
  </sheetViews>
  <sheetFormatPr defaultRowHeight="15" x14ac:dyDescent="0.25"/>
  <cols>
    <col min="1" max="2" width="18.140625" customWidth="1"/>
    <col min="3" max="10" width="12.85546875" customWidth="1"/>
    <col min="11" max="11" width="9.140625" customWidth="1"/>
    <col min="14" max="14" width="19.42578125" customWidth="1"/>
    <col min="16" max="16" width="12.85546875" customWidth="1"/>
  </cols>
  <sheetData>
    <row r="1" spans="1:16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3" t="s">
        <v>22</v>
      </c>
      <c r="G1" s="6" t="s">
        <v>23</v>
      </c>
      <c r="H1" s="6" t="s">
        <v>24</v>
      </c>
      <c r="I1" s="6" t="s">
        <v>27</v>
      </c>
      <c r="J1" s="6" t="s">
        <v>31</v>
      </c>
      <c r="K1" s="1"/>
      <c r="P1" s="1"/>
    </row>
    <row r="2" spans="1:16" x14ac:dyDescent="0.25">
      <c r="A2" s="7" t="s">
        <v>7</v>
      </c>
      <c r="B2" s="7" t="s">
        <v>8</v>
      </c>
      <c r="C2" s="15">
        <v>0</v>
      </c>
      <c r="D2" s="15">
        <v>648</v>
      </c>
      <c r="E2" s="16">
        <v>641</v>
      </c>
      <c r="F2" s="11">
        <v>1016</v>
      </c>
      <c r="G2" s="8">
        <v>2420</v>
      </c>
      <c r="H2" s="12">
        <f t="shared" ref="H2:H12" si="0">SQRT(G2)</f>
        <v>49.193495504995376</v>
      </c>
      <c r="I2" s="9">
        <f t="shared" ref="I2:I12" si="1">F2/H2</f>
        <v>20.653136955816237</v>
      </c>
      <c r="J2" s="19">
        <f>F2/G2</f>
        <v>0.41983471074380163</v>
      </c>
      <c r="L2" s="5" t="s">
        <v>30</v>
      </c>
    </row>
    <row r="3" spans="1:16" x14ac:dyDescent="0.25">
      <c r="A3" s="7" t="s">
        <v>5</v>
      </c>
      <c r="B3" s="7" t="s">
        <v>6</v>
      </c>
      <c r="C3" s="15">
        <v>885</v>
      </c>
      <c r="D3" s="15">
        <v>1012</v>
      </c>
      <c r="E3" s="16">
        <v>938</v>
      </c>
      <c r="F3" s="11">
        <v>938</v>
      </c>
      <c r="G3" s="8">
        <v>5140</v>
      </c>
      <c r="H3" s="12">
        <f t="shared" si="0"/>
        <v>71.693793315739683</v>
      </c>
      <c r="I3" s="9">
        <f t="shared" si="1"/>
        <v>13.083419869681677</v>
      </c>
      <c r="J3" s="19">
        <f t="shared" ref="J3:J12" si="2">F3/G3</f>
        <v>0.18249027237354085</v>
      </c>
      <c r="K3" s="1"/>
      <c r="P3" s="2"/>
    </row>
    <row r="4" spans="1:16" x14ac:dyDescent="0.25">
      <c r="A4" s="7" t="s">
        <v>20</v>
      </c>
      <c r="B4" s="7" t="s">
        <v>21</v>
      </c>
      <c r="C4" s="15">
        <v>1020</v>
      </c>
      <c r="D4" s="15">
        <v>552</v>
      </c>
      <c r="E4" s="16">
        <v>360</v>
      </c>
      <c r="F4" s="11">
        <v>360</v>
      </c>
      <c r="G4" s="8">
        <v>6900</v>
      </c>
      <c r="H4" s="12">
        <f t="shared" si="0"/>
        <v>83.066238629180745</v>
      </c>
      <c r="I4" s="10">
        <f t="shared" si="1"/>
        <v>4.3338907110876912</v>
      </c>
      <c r="J4" s="20">
        <f t="shared" si="2"/>
        <v>5.2173913043478258E-2</v>
      </c>
      <c r="K4" s="2"/>
      <c r="P4" s="2"/>
    </row>
    <row r="5" spans="1:16" x14ac:dyDescent="0.25">
      <c r="A5" s="7" t="s">
        <v>9</v>
      </c>
      <c r="B5" s="7" t="s">
        <v>10</v>
      </c>
      <c r="C5" s="15">
        <v>0</v>
      </c>
      <c r="D5" s="15">
        <v>130</v>
      </c>
      <c r="E5" s="16">
        <v>180</v>
      </c>
      <c r="F5" s="11">
        <v>180</v>
      </c>
      <c r="G5" s="8">
        <v>2481</v>
      </c>
      <c r="H5" s="12">
        <f t="shared" si="0"/>
        <v>49.809637621649088</v>
      </c>
      <c r="I5" s="10">
        <f t="shared" si="1"/>
        <v>3.6137584731547099</v>
      </c>
      <c r="J5" s="20">
        <f t="shared" si="2"/>
        <v>7.2551390568319232E-2</v>
      </c>
      <c r="K5" s="3"/>
      <c r="P5" s="2"/>
    </row>
    <row r="6" spans="1:16" x14ac:dyDescent="0.25">
      <c r="A6" s="7" t="s">
        <v>11</v>
      </c>
      <c r="B6" s="7" t="s">
        <v>12</v>
      </c>
      <c r="C6" s="15">
        <v>0</v>
      </c>
      <c r="D6" s="15">
        <v>0</v>
      </c>
      <c r="E6" s="16">
        <v>25.58</v>
      </c>
      <c r="F6" s="11">
        <v>25.58</v>
      </c>
      <c r="G6" s="8">
        <v>87.3</v>
      </c>
      <c r="H6" s="12">
        <f t="shared" si="0"/>
        <v>9.3434469014384618</v>
      </c>
      <c r="I6" s="10">
        <f t="shared" si="1"/>
        <v>2.737747671692965</v>
      </c>
      <c r="J6" s="20">
        <f t="shared" si="2"/>
        <v>0.29301260022909509</v>
      </c>
      <c r="K6" s="3"/>
      <c r="P6" s="2"/>
    </row>
    <row r="7" spans="1:16" x14ac:dyDescent="0.25">
      <c r="A7" s="7" t="s">
        <v>14</v>
      </c>
      <c r="B7" s="7" t="s">
        <v>15</v>
      </c>
      <c r="C7" s="15">
        <v>95.08</v>
      </c>
      <c r="D7" s="15">
        <v>79.59</v>
      </c>
      <c r="E7" s="16">
        <v>82.15</v>
      </c>
      <c r="F7" s="11">
        <v>82.15</v>
      </c>
      <c r="G7" s="8">
        <v>1185</v>
      </c>
      <c r="H7" s="12">
        <f t="shared" si="0"/>
        <v>34.423828956117013</v>
      </c>
      <c r="I7" s="10">
        <f t="shared" si="1"/>
        <v>2.3864283111772258</v>
      </c>
      <c r="J7" s="20">
        <f t="shared" si="2"/>
        <v>6.9324894514767935E-2</v>
      </c>
      <c r="K7" s="3"/>
      <c r="P7" s="2"/>
    </row>
    <row r="8" spans="1:16" x14ac:dyDescent="0.25">
      <c r="A8" s="7" t="s">
        <v>26</v>
      </c>
      <c r="B8" s="7" t="s">
        <v>35</v>
      </c>
      <c r="C8" s="15">
        <v>62.11</v>
      </c>
      <c r="D8" s="17">
        <v>98.54</v>
      </c>
      <c r="E8" s="16">
        <v>82.92</v>
      </c>
      <c r="F8" s="11">
        <v>65.59</v>
      </c>
      <c r="G8" s="8">
        <v>540</v>
      </c>
      <c r="H8" s="12">
        <f t="shared" si="0"/>
        <v>23.2379000772445</v>
      </c>
      <c r="I8" s="10">
        <f t="shared" si="1"/>
        <v>2.8225441964193831</v>
      </c>
      <c r="J8" s="20">
        <f t="shared" si="2"/>
        <v>0.12146296296296297</v>
      </c>
      <c r="K8" s="3"/>
      <c r="P8" s="2"/>
    </row>
    <row r="9" spans="1:16" x14ac:dyDescent="0.25">
      <c r="A9" s="7" t="s">
        <v>25</v>
      </c>
      <c r="B9" s="7" t="s">
        <v>13</v>
      </c>
      <c r="C9" s="15">
        <v>25</v>
      </c>
      <c r="D9" s="15">
        <v>33.299999999999997</v>
      </c>
      <c r="E9" s="16">
        <v>34.840000000000003</v>
      </c>
      <c r="F9" s="11">
        <v>34.840000000000003</v>
      </c>
      <c r="G9" s="8">
        <v>316</v>
      </c>
      <c r="H9" s="12">
        <f t="shared" si="0"/>
        <v>17.776388834631177</v>
      </c>
      <c r="I9" s="9">
        <f t="shared" si="1"/>
        <v>1.9599031234131339</v>
      </c>
      <c r="J9" s="19">
        <f t="shared" si="2"/>
        <v>0.11025316455696203</v>
      </c>
      <c r="K9" s="4"/>
      <c r="P9" s="2"/>
    </row>
    <row r="10" spans="1:16" ht="30" x14ac:dyDescent="0.25">
      <c r="A10" s="7" t="s">
        <v>18</v>
      </c>
      <c r="B10" s="7" t="s">
        <v>19</v>
      </c>
      <c r="C10" s="15">
        <v>4.84</v>
      </c>
      <c r="D10" s="15">
        <v>17.350000000000001</v>
      </c>
      <c r="E10" s="16">
        <v>26.11</v>
      </c>
      <c r="F10" s="11">
        <v>26.11</v>
      </c>
      <c r="G10" s="8">
        <v>183.3</v>
      </c>
      <c r="H10" s="12">
        <f t="shared" si="0"/>
        <v>13.538833036861043</v>
      </c>
      <c r="I10" s="9">
        <f t="shared" si="1"/>
        <v>1.9285266262544563</v>
      </c>
      <c r="J10" s="19">
        <f t="shared" si="2"/>
        <v>0.14244408074195308</v>
      </c>
      <c r="K10" s="2"/>
      <c r="P10" s="2"/>
    </row>
    <row r="11" spans="1:16" x14ac:dyDescent="0.25">
      <c r="A11" s="7" t="s">
        <v>16</v>
      </c>
      <c r="B11" s="7" t="s">
        <v>17</v>
      </c>
      <c r="C11" s="15">
        <v>38.369999999999997</v>
      </c>
      <c r="D11" s="15">
        <v>59.78</v>
      </c>
      <c r="E11" s="16">
        <v>51.15</v>
      </c>
      <c r="F11" s="11">
        <v>26.24</v>
      </c>
      <c r="G11" s="8">
        <v>390</v>
      </c>
      <c r="H11" s="12">
        <f t="shared" si="0"/>
        <v>19.748417658131498</v>
      </c>
      <c r="I11" s="10">
        <f t="shared" si="1"/>
        <v>1.3287140496137706</v>
      </c>
      <c r="J11" s="20">
        <f t="shared" si="2"/>
        <v>6.7282051282051281E-2</v>
      </c>
      <c r="K11" s="4"/>
      <c r="P11" s="2"/>
    </row>
    <row r="12" spans="1:16" x14ac:dyDescent="0.25">
      <c r="A12" s="7" t="s">
        <v>28</v>
      </c>
      <c r="B12" s="7" t="s">
        <v>29</v>
      </c>
      <c r="C12" s="15">
        <v>0.8</v>
      </c>
      <c r="D12" s="15">
        <v>12.29</v>
      </c>
      <c r="E12" s="16">
        <v>8.5</v>
      </c>
      <c r="F12" s="11">
        <v>8.5</v>
      </c>
      <c r="G12" s="8">
        <v>45.3</v>
      </c>
      <c r="H12" s="12">
        <f t="shared" si="0"/>
        <v>6.730527468185536</v>
      </c>
      <c r="I12" s="9">
        <f t="shared" si="1"/>
        <v>1.2629025050679261</v>
      </c>
      <c r="J12" s="19">
        <f t="shared" si="2"/>
        <v>0.18763796909492275</v>
      </c>
      <c r="K12" s="4"/>
      <c r="P12" s="2"/>
    </row>
    <row r="13" spans="1:16" x14ac:dyDescent="0.25">
      <c r="A13" s="29" t="s">
        <v>53</v>
      </c>
      <c r="D13" s="2"/>
      <c r="E13" s="2"/>
      <c r="F13" s="2"/>
      <c r="G13" s="4"/>
      <c r="H13" s="2"/>
      <c r="I13" s="2"/>
      <c r="J13" s="4"/>
      <c r="K13" s="2"/>
      <c r="P13" s="2"/>
    </row>
    <row r="14" spans="1:16" x14ac:dyDescent="0.25">
      <c r="A14" s="5"/>
      <c r="D14" s="2"/>
      <c r="E14" s="2"/>
      <c r="F14" s="2"/>
      <c r="G14" s="2"/>
      <c r="H14" s="2"/>
      <c r="I14" s="2"/>
      <c r="J14" s="2"/>
      <c r="K14" s="3"/>
      <c r="P14" s="2"/>
    </row>
    <row r="15" spans="1:16" ht="45" x14ac:dyDescent="0.25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13" t="s">
        <v>22</v>
      </c>
      <c r="G15" s="6" t="s">
        <v>23</v>
      </c>
      <c r="H15" s="6" t="s">
        <v>24</v>
      </c>
      <c r="I15" s="6" t="s">
        <v>27</v>
      </c>
      <c r="J15" s="6" t="s">
        <v>33</v>
      </c>
      <c r="K15" s="6" t="s">
        <v>32</v>
      </c>
      <c r="N15" s="28" t="s">
        <v>36</v>
      </c>
      <c r="O15" s="28" t="s">
        <v>37</v>
      </c>
      <c r="P15" s="2"/>
    </row>
    <row r="16" spans="1:16" x14ac:dyDescent="0.25">
      <c r="A16" s="7" t="s">
        <v>7</v>
      </c>
      <c r="B16" s="7" t="s">
        <v>8</v>
      </c>
      <c r="C16" s="15">
        <v>0</v>
      </c>
      <c r="D16" s="15">
        <v>648</v>
      </c>
      <c r="E16" s="16">
        <v>641</v>
      </c>
      <c r="F16" s="11">
        <v>1016</v>
      </c>
      <c r="G16" s="8">
        <v>2420</v>
      </c>
      <c r="H16" s="12">
        <f>SQRT(G16)</f>
        <v>49.193495504995376</v>
      </c>
      <c r="I16" s="9">
        <f>F16/H16</f>
        <v>20.653136955816237</v>
      </c>
      <c r="J16" s="19">
        <f>F16/G16</f>
        <v>0.41983471074380163</v>
      </c>
      <c r="K16" s="18">
        <v>0.2</v>
      </c>
      <c r="N16" s="27" t="s">
        <v>38</v>
      </c>
      <c r="O16" s="24">
        <v>40</v>
      </c>
      <c r="P16" s="2"/>
    </row>
    <row r="17" spans="1:16" x14ac:dyDescent="0.25">
      <c r="A17" s="7" t="s">
        <v>5</v>
      </c>
      <c r="B17" s="7" t="s">
        <v>6</v>
      </c>
      <c r="C17" s="15">
        <v>885</v>
      </c>
      <c r="D17" s="15">
        <v>1012</v>
      </c>
      <c r="E17" s="16">
        <v>938</v>
      </c>
      <c r="F17" s="11">
        <v>938</v>
      </c>
      <c r="G17" s="8">
        <v>5140</v>
      </c>
      <c r="H17" s="12">
        <f>SQRT(G17)</f>
        <v>71.693793315739683</v>
      </c>
      <c r="I17" s="9">
        <f>F17/H17</f>
        <v>13.083419869681677</v>
      </c>
      <c r="J17" s="19">
        <f t="shared" ref="J17:J20" si="3">F17/G17</f>
        <v>0.18249027237354085</v>
      </c>
      <c r="K17" s="18">
        <v>0.2</v>
      </c>
      <c r="N17" s="27" t="s">
        <v>39</v>
      </c>
      <c r="O17" s="24">
        <v>20</v>
      </c>
      <c r="P17" s="2"/>
    </row>
    <row r="18" spans="1:16" x14ac:dyDescent="0.25">
      <c r="A18" s="7" t="s">
        <v>25</v>
      </c>
      <c r="B18" s="7" t="s">
        <v>13</v>
      </c>
      <c r="C18" s="15">
        <v>25</v>
      </c>
      <c r="D18" s="15">
        <v>33.299999999999997</v>
      </c>
      <c r="E18" s="16">
        <v>34.840000000000003</v>
      </c>
      <c r="F18" s="11">
        <v>34.840000000000003</v>
      </c>
      <c r="G18" s="8">
        <v>316</v>
      </c>
      <c r="H18" s="12">
        <f>SQRT(G18)</f>
        <v>17.776388834631177</v>
      </c>
      <c r="I18" s="9">
        <f>F18/H18</f>
        <v>1.9599031234131339</v>
      </c>
      <c r="J18" s="19">
        <f t="shared" si="3"/>
        <v>0.11025316455696203</v>
      </c>
      <c r="K18" s="18">
        <v>0.2</v>
      </c>
      <c r="N18" s="27" t="s">
        <v>40</v>
      </c>
      <c r="O18" s="24">
        <v>20</v>
      </c>
      <c r="P18" s="2"/>
    </row>
    <row r="19" spans="1:16" ht="30" x14ac:dyDescent="0.25">
      <c r="A19" s="7" t="s">
        <v>18</v>
      </c>
      <c r="B19" s="7" t="s">
        <v>19</v>
      </c>
      <c r="C19" s="15">
        <v>4.84</v>
      </c>
      <c r="D19" s="15">
        <v>17.350000000000001</v>
      </c>
      <c r="E19" s="16">
        <v>26.11</v>
      </c>
      <c r="F19" s="11">
        <v>26.11</v>
      </c>
      <c r="G19" s="8">
        <v>183.3</v>
      </c>
      <c r="H19" s="12">
        <f>SQRT(G19)</f>
        <v>13.538833036861043</v>
      </c>
      <c r="I19" s="9">
        <f>F19/H19</f>
        <v>1.9285266262544563</v>
      </c>
      <c r="J19" s="19">
        <f t="shared" si="3"/>
        <v>0.14244408074195308</v>
      </c>
      <c r="K19" s="18">
        <v>0.2</v>
      </c>
      <c r="N19" s="27" t="s">
        <v>41</v>
      </c>
      <c r="O19" s="24">
        <v>20</v>
      </c>
      <c r="P19" s="2"/>
    </row>
    <row r="20" spans="1:16" ht="15.75" thickBot="1" x14ac:dyDescent="0.3">
      <c r="A20" s="7" t="s">
        <v>28</v>
      </c>
      <c r="B20" s="7" t="s">
        <v>29</v>
      </c>
      <c r="C20" s="15">
        <v>0.8</v>
      </c>
      <c r="D20" s="15">
        <v>12.29</v>
      </c>
      <c r="E20" s="16">
        <v>8.5</v>
      </c>
      <c r="F20" s="11">
        <v>8.5</v>
      </c>
      <c r="G20" s="8">
        <v>45.3</v>
      </c>
      <c r="H20" s="12">
        <f>SQRT(G20)</f>
        <v>6.730527468185536</v>
      </c>
      <c r="I20" s="9">
        <f>F20/H20</f>
        <v>1.2629025050679261</v>
      </c>
      <c r="J20" s="21">
        <f t="shared" si="3"/>
        <v>0.18763796909492275</v>
      </c>
      <c r="K20" s="18">
        <v>0.2</v>
      </c>
    </row>
    <row r="21" spans="1:16" ht="15.75" thickBot="1" x14ac:dyDescent="0.3">
      <c r="A21" s="30" t="s">
        <v>54</v>
      </c>
      <c r="I21" s="14" t="s">
        <v>34</v>
      </c>
      <c r="J21" s="22">
        <f>AVERAGE(J16:J20)</f>
        <v>0.20853203950223609</v>
      </c>
      <c r="K21" s="23">
        <f>SUM(K16:K20)</f>
        <v>1</v>
      </c>
    </row>
    <row r="51" spans="2:4" x14ac:dyDescent="0.25">
      <c r="B51" s="1" t="s">
        <v>42</v>
      </c>
      <c r="C51" s="1" t="s">
        <v>43</v>
      </c>
      <c r="D51" s="1"/>
    </row>
    <row r="52" spans="2:4" ht="30" x14ac:dyDescent="0.25">
      <c r="B52" s="2" t="s">
        <v>44</v>
      </c>
      <c r="C52" s="2">
        <v>5</v>
      </c>
      <c r="D52" s="2"/>
    </row>
    <row r="53" spans="2:4" ht="30" x14ac:dyDescent="0.25">
      <c r="B53" s="2" t="s">
        <v>45</v>
      </c>
      <c r="C53" s="26">
        <v>0.2</v>
      </c>
      <c r="D53" s="2"/>
    </row>
    <row r="54" spans="2:4" ht="45" x14ac:dyDescent="0.25">
      <c r="B54" s="2" t="s">
        <v>46</v>
      </c>
      <c r="C54" s="25">
        <v>0.20849999999999999</v>
      </c>
      <c r="D54" s="2"/>
    </row>
    <row r="55" spans="2:4" ht="75" x14ac:dyDescent="0.25">
      <c r="B55" s="2" t="s">
        <v>47</v>
      </c>
      <c r="C55" s="2" t="s">
        <v>48</v>
      </c>
      <c r="D55" s="2"/>
    </row>
    <row r="56" spans="2:4" ht="45" x14ac:dyDescent="0.25">
      <c r="B56" s="2" t="s">
        <v>49</v>
      </c>
      <c r="C56" s="2" t="s">
        <v>50</v>
      </c>
      <c r="D56" s="2"/>
    </row>
    <row r="57" spans="2:4" ht="30" x14ac:dyDescent="0.25">
      <c r="B57" s="2" t="s">
        <v>51</v>
      </c>
      <c r="C57" s="2" t="s">
        <v>52</v>
      </c>
      <c r="D57" s="2"/>
    </row>
  </sheetData>
  <sortState xmlns:xlrd2="http://schemas.microsoft.com/office/spreadsheetml/2017/richdata2" ref="A2:I12">
    <sortCondition descending="1" ref="I2:I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Серков</dc:creator>
  <cp:lastModifiedBy>Серков Константин Георгиевич</cp:lastModifiedBy>
  <dcterms:created xsi:type="dcterms:W3CDTF">2015-06-05T18:19:34Z</dcterms:created>
  <dcterms:modified xsi:type="dcterms:W3CDTF">2026-02-28T05:32:34Z</dcterms:modified>
</cp:coreProperties>
</file>